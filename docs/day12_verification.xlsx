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5CDD3D2B-0A2B-44EF-BBD0-A53A681E644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3" i="1"/>
  <c r="F4" i="1"/>
  <c r="N4" i="1"/>
  <c r="N3" i="1"/>
  <c r="N2" i="1"/>
  <c r="M4" i="1"/>
  <c r="M3" i="1"/>
  <c r="M2" i="1"/>
  <c r="L2" i="1"/>
  <c r="L3" i="1"/>
  <c r="J4" i="1"/>
  <c r="J3" i="1"/>
  <c r="J2" i="1"/>
</calcChain>
</file>

<file path=xl/sharedStrings.xml><?xml version="1.0" encoding="utf-8"?>
<sst xmlns="http://schemas.openxmlformats.org/spreadsheetml/2006/main" count="17" uniqueCount="17">
  <si>
    <t>Company</t>
  </si>
  <si>
    <t>2019 Revenue</t>
  </si>
  <si>
    <t>2024 Revenue</t>
  </si>
  <si>
    <t>Manual Revenue CAGR</t>
  </si>
  <si>
    <t>Database Revenue CAGR</t>
  </si>
  <si>
    <t>CAGR Difference</t>
  </si>
  <si>
    <t>2024 Net Profit</t>
  </si>
  <si>
    <t>Equity Capital</t>
  </si>
  <si>
    <t>Reserves</t>
  </si>
  <si>
    <t>Manual ROE</t>
  </si>
  <si>
    <t>Database ROE</t>
  </si>
  <si>
    <t>ROE Difference</t>
  </si>
  <si>
    <t>CAGR Check</t>
  </si>
  <si>
    <t>ROE Check</t>
  </si>
  <si>
    <t>RELIANCE</t>
  </si>
  <si>
    <t xml:space="preserve">INDIGO </t>
  </si>
  <si>
    <t>TRENT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</si>
</sst>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F10" sqref="F10"/>
    </sheetView>
  </sheetViews>
  <sheetFormatPr defaultRowHeight="15"/>
  <cols>
    <col min="1" max="1" width="9.140625" customWidth="1"/>
    <col min="2" max="2" width="13.28515625" customWidth="1"/>
    <col min="3" max="3" width="13.140625" customWidth="1"/>
    <col min="4" max="4" width="20.28515625" customWidth="1"/>
    <col min="5" max="5" width="28.140625" customWidth="1"/>
    <col min="6" max="6" width="14.85546875" customWidth="1"/>
    <col min="7" max="7" width="13.85546875" customWidth="1"/>
    <col min="8" max="8" width="13" customWidth="1"/>
    <col min="10" max="10" width="11.85546875" customWidth="1"/>
    <col min="11" max="11" width="13" customWidth="1"/>
    <col min="12" max="12" width="14.42578125" customWidth="1"/>
    <col min="13" max="13" width="11.28515625" customWidth="1"/>
    <col min="14" max="14" width="11.57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568337</v>
      </c>
      <c r="C2">
        <v>899041</v>
      </c>
      <c r="D2">
        <v>9.6060970900000004</v>
      </c>
      <c r="E2">
        <v>9.6060970946169704</v>
      </c>
      <c r="F2">
        <f>ABS(D2-E2)</f>
        <v>4.6169699174924972E-9</v>
      </c>
      <c r="G2">
        <v>79020</v>
      </c>
      <c r="H2">
        <v>6766</v>
      </c>
      <c r="I2">
        <v>786715</v>
      </c>
      <c r="J2">
        <f>(G2/(H2+I2))*100</f>
        <v>9.9586505536994583</v>
      </c>
      <c r="K2">
        <v>9.9586505536994494</v>
      </c>
      <c r="L2">
        <f>ABS(J3-K3)</f>
        <v>0</v>
      </c>
      <c r="M2" t="str">
        <f>IF(F2&lt;0.1,"PASS","FAIL")</f>
        <v>PASS</v>
      </c>
      <c r="N2" t="str">
        <f>IF(L2&lt;0.1,"PASS","FAIL")</f>
        <v>PASS</v>
      </c>
    </row>
    <row r="3" spans="1:14">
      <c r="A3" t="s">
        <v>15</v>
      </c>
      <c r="B3">
        <v>28497</v>
      </c>
      <c r="C3">
        <v>68904</v>
      </c>
      <c r="D3">
        <v>19.313355130000001</v>
      </c>
      <c r="E3">
        <v>19.313355125806101</v>
      </c>
      <c r="F3">
        <f>ABS(D3-E3)</f>
        <v>4.1939003381230577E-9</v>
      </c>
      <c r="G3">
        <v>8167</v>
      </c>
      <c r="H3">
        <v>48</v>
      </c>
      <c r="I3">
        <v>867</v>
      </c>
      <c r="J3">
        <f>(G3/(H3+I3))*100</f>
        <v>892.56830601092895</v>
      </c>
      <c r="K3">
        <v>892.56830601092895</v>
      </c>
      <c r="L3">
        <f>ABS(J3-K3)</f>
        <v>0</v>
      </c>
      <c r="M3" t="str">
        <f>IF(F3&lt;0.1,"PASS","FAIL")</f>
        <v>PASS</v>
      </c>
      <c r="N3" t="str">
        <f>IF(L3&lt;0.1,"PASS","FAIL")</f>
        <v>PASS</v>
      </c>
    </row>
    <row r="4" spans="1:14">
      <c r="A4" t="s">
        <v>16</v>
      </c>
      <c r="B4">
        <v>2630</v>
      </c>
      <c r="C4">
        <v>12375</v>
      </c>
      <c r="D4">
        <v>36.306916000000001</v>
      </c>
      <c r="E4">
        <v>36.306916001830501</v>
      </c>
      <c r="F4">
        <f>ABS(D4-E4)</f>
        <v>1.8305001958651701E-9</v>
      </c>
      <c r="G4">
        <v>1477</v>
      </c>
      <c r="H4">
        <v>36</v>
      </c>
      <c r="I4">
        <v>4032</v>
      </c>
      <c r="J4">
        <f>(G4/(H4+I4))*100</f>
        <v>36.307767944936089</v>
      </c>
      <c r="K4">
        <v>36.307767944936003</v>
      </c>
      <c r="L4">
        <v>0</v>
      </c>
      <c r="M4" t="str">
        <f>IF(F4&lt;0.1,"PASS","FAIL")</f>
        <v>PASS</v>
      </c>
      <c r="N4" t="str">
        <f>IF(L4&lt;0.1,"PASS","FAIL")</f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2026-08-26T14:26:07Z</dcterms:created>
  <dcterms:modified xsi:type="dcterms:W3CDTF">2026-08-26T14:53:54Z</dcterms:modified>
  <cp:category/>
  <cp:contentStatus/>
</cp:coreProperties>
</file>